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опущения" sheetId="1" r:id="rId1"/>
    <sheet name="A Монолит" sheetId="2" r:id="rId2"/>
    <sheet name="B Сервисы" sheetId="3" r:id="rId3"/>
    <sheet name="C CTO" sheetId="4" r:id="rId4"/>
    <sheet name="Сценарии 50k 10M" sheetId="5" r:id="rId5"/>
  </sheets>
  <calcPr calcId="124519" fullCalcOnLoad="1"/>
</workbook>
</file>

<file path=xl/sharedStrings.xml><?xml version="1.0" encoding="utf-8"?>
<sst xmlns="http://schemas.openxmlformats.org/spreadsheetml/2006/main" count="185" uniqueCount="90">
  <si>
    <t>Параметр</t>
  </si>
  <si>
    <t>Значение</t>
  </si>
  <si>
    <t>Единица</t>
  </si>
  <si>
    <t>Комментарии</t>
  </si>
  <si>
    <t>Средний чек</t>
  </si>
  <si>
    <t>USD</t>
  </si>
  <si>
    <t>Допущение</t>
  </si>
  <si>
    <t>Заказов на пользователя</t>
  </si>
  <si>
    <t>шт/год</t>
  </si>
  <si>
    <t>Условное</t>
  </si>
  <si>
    <t>PSP с конвертацией</t>
  </si>
  <si>
    <t>доля GMV</t>
  </si>
  <si>
    <t>Порог CFO строго ниже 2,5%, тариф не подтверждён</t>
  </si>
  <si>
    <t>Логистика на заказ</t>
  </si>
  <si>
    <t>Платформенная часть, не вся перевозка</t>
  </si>
  <si>
    <t>Сообщения на заказ</t>
  </si>
  <si>
    <t>Только с правовым основанием</t>
  </si>
  <si>
    <t>Рост инфраструктуры</t>
  </si>
  <si>
    <t>доля</t>
  </si>
  <si>
    <t>Модель</t>
  </si>
  <si>
    <t>Рост ФОТ</t>
  </si>
  <si>
    <t>Инфляция</t>
  </si>
  <si>
    <t>Ставка дисконтирования</t>
  </si>
  <si>
    <t>FTE в месяц</t>
  </si>
  <si>
    <t>Условная полная стоимость контрактора</t>
  </si>
  <si>
    <t>Compliance Y1</t>
  </si>
  <si>
    <t>Оценка</t>
  </si>
  <si>
    <t>Compliance Y2+</t>
  </si>
  <si>
    <t>Потеря / мин</t>
  </si>
  <si>
    <t>Слова инвестора, НЕ подтверждённая прибыль</t>
  </si>
  <si>
    <t>SLO сценарий</t>
  </si>
  <si>
    <t>Не соглашение</t>
  </si>
  <si>
    <t>CFO лимит</t>
  </si>
  <si>
    <t>USD/мес</t>
  </si>
  <si>
    <t>Первые 6 месяцев</t>
  </si>
  <si>
    <t>Год</t>
  </si>
  <si>
    <t>Y1</t>
  </si>
  <si>
    <t>Y2</t>
  </si>
  <si>
    <t>Y3</t>
  </si>
  <si>
    <t>Y4</t>
  </si>
  <si>
    <t>Y5</t>
  </si>
  <si>
    <t>Пользователи</t>
  </si>
  <si>
    <t>Заказы</t>
  </si>
  <si>
    <t>GMV</t>
  </si>
  <si>
    <t>Все тарифы гипотетические, не договорные; input Task1 C-01/C-07.</t>
  </si>
  <si>
    <t>Второй локальный контур NG/KE, USD/мес.</t>
  </si>
  <si>
    <t>Внутристрановое резервирование, USD/мес.</t>
  </si>
  <si>
    <t>Суммарное дополнительное размещение, USD/мес.</t>
  </si>
  <si>
    <t>Статус: смета не подтверждена; обязательна проверка ЦОД NG/KE и CFO.</t>
  </si>
  <si>
    <t>A Монолит | TCO 5 лет (USD)</t>
  </si>
  <si>
    <t>Показатель</t>
  </si>
  <si>
    <t>Infra + SaaS</t>
  </si>
  <si>
    <t>Команда/FTE</t>
  </si>
  <si>
    <t>PSP+FX</t>
  </si>
  <si>
    <t>Доставка</t>
  </si>
  <si>
    <t>Уведомления</t>
  </si>
  <si>
    <t>Compliance</t>
  </si>
  <si>
    <t>Внедрение</t>
  </si>
  <si>
    <t>Всего TCO</t>
  </si>
  <si>
    <t>Технические расходы (infra+люди+legal+setup)</t>
  </si>
  <si>
    <t>TCO / заказ</t>
  </si>
  <si>
    <t>Tech cost / заказ</t>
  </si>
  <si>
    <t>NPV годовой</t>
  </si>
  <si>
    <t>TCO 5 лет</t>
  </si>
  <si>
    <t>NPV 5 лет</t>
  </si>
  <si>
    <t>Стоимость заказа за 5 лет</t>
  </si>
  <si>
    <t>Избыточные fixed costs относительно A за 5 лет</t>
  </si>
  <si>
    <t>Monthly infra+SaaS при старте</t>
  </si>
  <si>
    <t>CFO cap (1=pass)</t>
  </si>
  <si>
    <t>FTE</t>
  </si>
  <si>
    <t>Плановая цена миграции к 10M (НЕ baseline)</t>
  </si>
  <si>
    <t>SLO стресс-допущение</t>
  </si>
  <si>
    <t>Минут простоя при SLO / год</t>
  </si>
  <si>
    <t>Гипотетические потери / год</t>
  </si>
  <si>
    <t>TCO с условной стоимостью простоя</t>
  </si>
  <si>
    <t>B24 = разница фиксированных затрат относительно A (не сумма списаний); объём заказов на неё не влияет.</t>
  </si>
  <si>
    <t>Сценарий 10M: резерв B28 не включён в baseline; нужна проверка нагрузки и коммерческих тарифов.</t>
  </si>
  <si>
    <t>TCO и потери при SLO показаны отдельно, без смешения cash cost с модельным ущербом.</t>
  </si>
  <si>
    <t>B Сервисы | TCO 5 лет (USD)</t>
  </si>
  <si>
    <t>C CTO | TCO 5 лет (USD)</t>
  </si>
  <si>
    <t>Сценарий</t>
  </si>
  <si>
    <t>A Монолит</t>
  </si>
  <si>
    <t>B Сервисы</t>
  </si>
  <si>
    <t>C CTO</t>
  </si>
  <si>
    <t>5-летняя фиксированная разница относительно A, USD</t>
  </si>
  <si>
    <t>Сценарий: 50 000 пользователей в каждый год</t>
  </si>
  <si>
    <t>Заказы в год при 2,4 заказа/пользователя</t>
  </si>
  <si>
    <t>Сценарий: 10 млн пользователей, гипотеза, НЕ проверенная нагрузка</t>
  </si>
  <si>
    <t>Условная стоимость миграции при 10 млн (не baseline)</t>
  </si>
  <si>
    <t>Ни 50 тыс., ни 10 млн не являются фактическим прогнозом. Фиксированные затраты при 50 тыс. остаются, но не обязательно потеряны.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</si>
</sst>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7556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7.7109375" customWidth="1"/>
    <col min="2" max="3" width="20.7109375" customWidth="1"/>
    <col min="4" max="4" width="7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5</v>
      </c>
      <c r="D2" t="s">
        <v>6</v>
      </c>
    </row>
    <row r="3" spans="1:4">
      <c r="A3" t="s">
        <v>7</v>
      </c>
      <c r="B3">
        <v>2.4</v>
      </c>
      <c r="C3" t="s">
        <v>8</v>
      </c>
      <c r="D3" t="s">
        <v>9</v>
      </c>
    </row>
    <row r="4" spans="1:4">
      <c r="A4" t="s">
        <v>10</v>
      </c>
      <c r="B4">
        <v>0.024</v>
      </c>
      <c r="C4" t="s">
        <v>11</v>
      </c>
      <c r="D4" t="s">
        <v>12</v>
      </c>
    </row>
    <row r="5" spans="1:4">
      <c r="A5" t="s">
        <v>13</v>
      </c>
      <c r="B5">
        <v>1.2</v>
      </c>
      <c r="C5" t="s">
        <v>5</v>
      </c>
      <c r="D5" t="s">
        <v>14</v>
      </c>
    </row>
    <row r="6" spans="1:4">
      <c r="A6" t="s">
        <v>15</v>
      </c>
      <c r="B6">
        <v>0.035</v>
      </c>
      <c r="C6" t="s">
        <v>5</v>
      </c>
      <c r="D6" t="s">
        <v>16</v>
      </c>
    </row>
    <row r="7" spans="1:4">
      <c r="A7" t="s">
        <v>17</v>
      </c>
      <c r="B7">
        <v>0.13</v>
      </c>
      <c r="C7" t="s">
        <v>18</v>
      </c>
      <c r="D7" t="s">
        <v>19</v>
      </c>
    </row>
    <row r="8" spans="1:4">
      <c r="A8" t="s">
        <v>20</v>
      </c>
      <c r="B8">
        <v>0.06</v>
      </c>
      <c r="C8" t="s">
        <v>18</v>
      </c>
      <c r="D8" t="s">
        <v>19</v>
      </c>
    </row>
    <row r="9" spans="1:4">
      <c r="A9" t="s">
        <v>21</v>
      </c>
      <c r="B9">
        <v>0.04</v>
      </c>
      <c r="C9" t="s">
        <v>18</v>
      </c>
      <c r="D9" t="s">
        <v>19</v>
      </c>
    </row>
    <row r="10" spans="1:4">
      <c r="A10" t="s">
        <v>22</v>
      </c>
      <c r="B10">
        <v>0.15</v>
      </c>
      <c r="C10" t="s">
        <v>18</v>
      </c>
      <c r="D10" t="s">
        <v>19</v>
      </c>
    </row>
    <row r="11" spans="1:4">
      <c r="A11" t="s">
        <v>23</v>
      </c>
      <c r="B11">
        <v>3500</v>
      </c>
      <c r="C11" t="s">
        <v>5</v>
      </c>
      <c r="D11" t="s">
        <v>24</v>
      </c>
    </row>
    <row r="12" spans="1:4">
      <c r="A12" t="s">
        <v>25</v>
      </c>
      <c r="B12">
        <v>20000</v>
      </c>
      <c r="C12" t="s">
        <v>5</v>
      </c>
      <c r="D12" t="s">
        <v>26</v>
      </c>
    </row>
    <row r="13" spans="1:4">
      <c r="A13" t="s">
        <v>27</v>
      </c>
      <c r="B13">
        <v>7000</v>
      </c>
      <c r="C13" t="s">
        <v>5</v>
      </c>
      <c r="D13" t="s">
        <v>26</v>
      </c>
    </row>
    <row r="14" spans="1:4">
      <c r="A14" t="s">
        <v>28</v>
      </c>
      <c r="B14">
        <v>12000</v>
      </c>
      <c r="C14" t="s">
        <v>5</v>
      </c>
      <c r="D14" t="s">
        <v>29</v>
      </c>
    </row>
    <row r="15" spans="1:4">
      <c r="A15" t="s">
        <v>30</v>
      </c>
      <c r="B15">
        <v>0.995</v>
      </c>
      <c r="C15" t="s">
        <v>18</v>
      </c>
      <c r="D15" t="s">
        <v>31</v>
      </c>
    </row>
    <row r="16" spans="1:4">
      <c r="A16" t="s">
        <v>32</v>
      </c>
      <c r="B16">
        <v>5000</v>
      </c>
      <c r="C16" t="s">
        <v>33</v>
      </c>
      <c r="D16" t="s">
        <v>34</v>
      </c>
    </row>
    <row r="19" spans="1:6">
      <c r="A19" s="1" t="s">
        <v>35</v>
      </c>
      <c r="B19" s="1" t="s">
        <v>36</v>
      </c>
      <c r="C19" s="1" t="s">
        <v>37</v>
      </c>
      <c r="D19" s="1" t="s">
        <v>38</v>
      </c>
      <c r="E19" s="1" t="s">
        <v>39</v>
      </c>
      <c r="F19" s="1" t="s">
        <v>40</v>
      </c>
    </row>
    <row r="20" spans="1:6">
      <c r="A20" t="s">
        <v>41</v>
      </c>
      <c r="B20">
        <v>50000</v>
      </c>
      <c r="C20">
        <v>120000</v>
      </c>
      <c r="D20">
        <v>250000</v>
      </c>
      <c r="E20">
        <v>500000</v>
      </c>
      <c r="F20">
        <v>1000000</v>
      </c>
    </row>
    <row r="21" spans="1:6">
      <c r="A21" t="s">
        <v>42</v>
      </c>
      <c r="B21" s="2">
        <f>B20*$B$3</f>
        <v>0</v>
      </c>
      <c r="C21" s="2">
        <f>C20*$B$3</f>
        <v>0</v>
      </c>
      <c r="D21" s="2">
        <f>D20*$B$3</f>
        <v>0</v>
      </c>
      <c r="E21" s="2">
        <f>E20*$B$3</f>
        <v>0</v>
      </c>
      <c r="F21" s="2">
        <f>F20*$B$3</f>
        <v>0</v>
      </c>
    </row>
    <row r="22" spans="1:6">
      <c r="A22" t="s">
        <v>43</v>
      </c>
      <c r="B22" s="2">
        <f>B21*$B$2</f>
        <v>0</v>
      </c>
      <c r="C22" s="2">
        <f>C21*$B$2</f>
        <v>0</v>
      </c>
      <c r="D22" s="2">
        <f>D21*$B$2</f>
        <v>0</v>
      </c>
      <c r="E22" s="2">
        <f>E21*$B$2</f>
        <v>0</v>
      </c>
      <c r="F22" s="2">
        <f>F21*$B$2</f>
        <v>0</v>
      </c>
    </row>
    <row r="24" spans="1:6">
      <c r="A24" t="s">
        <v>44</v>
      </c>
    </row>
    <row r="26" spans="1:6">
      <c r="A26" t="s">
        <v>45</v>
      </c>
      <c r="B26">
        <v>1700</v>
      </c>
    </row>
    <row r="27" spans="1:6">
      <c r="A27" t="s">
        <v>46</v>
      </c>
      <c r="B27">
        <v>500</v>
      </c>
    </row>
    <row r="28" spans="1:6">
      <c r="A28" t="s">
        <v>47</v>
      </c>
      <c r="B28" s="2">
        <f>SUM(B26:B27)</f>
        <v>0</v>
      </c>
    </row>
    <row r="29" spans="1:6">
      <c r="A29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9.7109375" customWidth="1"/>
    <col min="2" max="6" width="19.7109375" customWidth="1"/>
  </cols>
  <sheetData>
    <row r="1" spans="1:6">
      <c r="A1" s="1" t="s">
        <v>49</v>
      </c>
    </row>
    <row r="3" spans="1:6">
      <c r="A3" s="1" t="s">
        <v>50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</row>
    <row r="4" spans="1:6">
      <c r="A4" t="s">
        <v>41</v>
      </c>
      <c r="B4" s="2">
        <f>'Допущения'!B20</f>
        <v>0</v>
      </c>
      <c r="C4" s="2">
        <f>'Допущения'!C20</f>
        <v>0</v>
      </c>
      <c r="D4" s="2">
        <f>'Допущения'!D20</f>
        <v>0</v>
      </c>
      <c r="E4" s="2">
        <f>'Допущения'!E20</f>
        <v>0</v>
      </c>
      <c r="F4" s="2">
        <f>'Допущения'!F20</f>
        <v>0</v>
      </c>
    </row>
    <row r="5" spans="1:6">
      <c r="A5" t="s">
        <v>42</v>
      </c>
      <c r="B5" s="2">
        <f>'Допущения'!B21</f>
        <v>0</v>
      </c>
      <c r="C5" s="2">
        <f>'Допущения'!C21</f>
        <v>0</v>
      </c>
      <c r="D5" s="2">
        <f>'Допущения'!D21</f>
        <v>0</v>
      </c>
      <c r="E5" s="2">
        <f>'Допущения'!E21</f>
        <v>0</v>
      </c>
      <c r="F5" s="2">
        <f>'Допущения'!F21</f>
        <v>0</v>
      </c>
    </row>
    <row r="6" spans="1:6">
      <c r="A6" t="s">
        <v>43</v>
      </c>
      <c r="B6" s="2">
        <f>'Допущения'!B22</f>
        <v>0</v>
      </c>
      <c r="C6" s="2">
        <f>'Допущения'!C22</f>
        <v>0</v>
      </c>
      <c r="D6" s="2">
        <f>'Допущения'!D22</f>
        <v>0</v>
      </c>
      <c r="E6" s="2">
        <f>'Допущения'!E22</f>
        <v>0</v>
      </c>
      <c r="F6" s="2">
        <f>'Допущения'!F22</f>
        <v>0</v>
      </c>
    </row>
    <row r="8" spans="1:6">
      <c r="A8" t="s">
        <v>51</v>
      </c>
      <c r="B8" s="2">
        <f>2600*12*(1+'Допущения'!$B$7)^0</f>
        <v>0</v>
      </c>
      <c r="C8" s="2">
        <f>2600*12*(1+'Допущения'!$B$7)^1</f>
        <v>0</v>
      </c>
      <c r="D8" s="2">
        <f>2600*12*(1+'Допущения'!$B$7)^2</f>
        <v>0</v>
      </c>
      <c r="E8" s="2">
        <f>2600*12*(1+'Допущения'!$B$7)^3</f>
        <v>0</v>
      </c>
      <c r="F8" s="2">
        <f>2600*12*(1+'Допущения'!$B$7)^4</f>
        <v>0</v>
      </c>
    </row>
    <row r="9" spans="1:6">
      <c r="A9" t="s">
        <v>52</v>
      </c>
      <c r="B9" s="2">
        <f>6*'Допущения'!$B$11*12*(1+'Допущения'!$B$8)^0</f>
        <v>0</v>
      </c>
      <c r="C9" s="2">
        <f>6*'Допущения'!$B$11*12*(1+'Допущения'!$B$8)^1</f>
        <v>0</v>
      </c>
      <c r="D9" s="2">
        <f>6*'Допущения'!$B$11*12*(1+'Допущения'!$B$8)^2</f>
        <v>0</v>
      </c>
      <c r="E9" s="2">
        <f>6*'Допущения'!$B$11*12*(1+'Допущения'!$B$8)^3</f>
        <v>0</v>
      </c>
      <c r="F9" s="2">
        <f>6*'Допущения'!$B$11*12*(1+'Допущения'!$B$8)^4</f>
        <v>0</v>
      </c>
    </row>
    <row r="10" spans="1:6">
      <c r="A10" t="s">
        <v>53</v>
      </c>
      <c r="B10" s="2">
        <f>B6*'Допущения'!$B$4</f>
        <v>0</v>
      </c>
      <c r="C10" s="2">
        <f>C6*'Допущения'!$B$4</f>
        <v>0</v>
      </c>
      <c r="D10" s="2">
        <f>D6*'Допущения'!$B$4</f>
        <v>0</v>
      </c>
      <c r="E10" s="2">
        <f>E6*'Допущения'!$B$4</f>
        <v>0</v>
      </c>
      <c r="F10" s="2">
        <f>F6*'Допущения'!$B$4</f>
        <v>0</v>
      </c>
    </row>
    <row r="11" spans="1:6">
      <c r="A11" t="s">
        <v>54</v>
      </c>
      <c r="B11" s="2">
        <f>B5*'Допущения'!$B$5</f>
        <v>0</v>
      </c>
      <c r="C11" s="2">
        <f>C5*'Допущения'!$B$5</f>
        <v>0</v>
      </c>
      <c r="D11" s="2">
        <f>D5*'Допущения'!$B$5</f>
        <v>0</v>
      </c>
      <c r="E11" s="2">
        <f>E5*'Допущения'!$B$5</f>
        <v>0</v>
      </c>
      <c r="F11" s="2">
        <f>F5*'Допущения'!$B$5</f>
        <v>0</v>
      </c>
    </row>
    <row r="12" spans="1:6">
      <c r="A12" t="s">
        <v>55</v>
      </c>
      <c r="B12" s="2">
        <f>B5*'Допущения'!$B$6</f>
        <v>0</v>
      </c>
      <c r="C12" s="2">
        <f>C5*'Допущения'!$B$6</f>
        <v>0</v>
      </c>
      <c r="D12" s="2">
        <f>D5*'Допущения'!$B$6</f>
        <v>0</v>
      </c>
      <c r="E12" s="2">
        <f>E5*'Допущения'!$B$6</f>
        <v>0</v>
      </c>
      <c r="F12" s="2">
        <f>F5*'Допущения'!$B$6</f>
        <v>0</v>
      </c>
    </row>
    <row r="13" spans="1:6">
      <c r="A13" t="s">
        <v>56</v>
      </c>
      <c r="B13" s="2">
        <f>'Допущения'!$B$12</f>
        <v>0</v>
      </c>
      <c r="C13" s="2">
        <f>'Допущения'!$B$13*(1+'Допущения'!$B$9)^1</f>
        <v>0</v>
      </c>
      <c r="D13" s="2">
        <f>'Допущения'!$B$13*(1+'Допущения'!$B$9)^2</f>
        <v>0</v>
      </c>
      <c r="E13" s="2">
        <f>'Допущения'!$B$13*(1+'Допущения'!$B$9)^3</f>
        <v>0</v>
      </c>
      <c r="F13" s="2">
        <f>'Допущения'!$B$13*(1+'Допущения'!$B$9)^4</f>
        <v>0</v>
      </c>
    </row>
    <row r="14" spans="1:6">
      <c r="A14" t="s">
        <v>57</v>
      </c>
      <c r="B14" s="2">
        <v>6000</v>
      </c>
      <c r="C14" s="2">
        <v>0</v>
      </c>
      <c r="D14" s="2">
        <v>0</v>
      </c>
      <c r="E14" s="2">
        <v>0</v>
      </c>
      <c r="F14" s="2">
        <v>0</v>
      </c>
    </row>
    <row r="15" spans="1:6">
      <c r="A15" t="s">
        <v>58</v>
      </c>
      <c r="B15" s="2">
        <f>SUM(B8:B14)</f>
        <v>0</v>
      </c>
      <c r="C15" s="2">
        <f>SUM(C8:C14)</f>
        <v>0</v>
      </c>
      <c r="D15" s="2">
        <f>SUM(D8:D14)</f>
        <v>0</v>
      </c>
      <c r="E15" s="2">
        <f>SUM(E8:E14)</f>
        <v>0</v>
      </c>
      <c r="F15" s="2">
        <f>SUM(F8:F14)</f>
        <v>0</v>
      </c>
    </row>
    <row r="16" spans="1:6">
      <c r="A16" t="s">
        <v>59</v>
      </c>
      <c r="B16" s="2">
        <f>B8+B9+B13+B14</f>
        <v>0</v>
      </c>
      <c r="C16" s="2">
        <f>C8+C9+C13+C14</f>
        <v>0</v>
      </c>
      <c r="D16" s="2">
        <f>D8+D9+D13+D14</f>
        <v>0</v>
      </c>
      <c r="E16" s="2">
        <f>E8+E9+E13+E14</f>
        <v>0</v>
      </c>
      <c r="F16" s="2">
        <f>F8+F9+F13+F14</f>
        <v>0</v>
      </c>
    </row>
    <row r="17" spans="1:6">
      <c r="A17" t="s">
        <v>60</v>
      </c>
      <c r="B17" s="2">
        <f>B15/B5</f>
        <v>0</v>
      </c>
      <c r="C17" s="2">
        <f>C15/C5</f>
        <v>0</v>
      </c>
      <c r="D17" s="2">
        <f>D15/D5</f>
        <v>0</v>
      </c>
      <c r="E17" s="2">
        <f>E15/E5</f>
        <v>0</v>
      </c>
      <c r="F17" s="2">
        <f>F15/F5</f>
        <v>0</v>
      </c>
    </row>
    <row r="18" spans="1:6">
      <c r="A18" t="s">
        <v>61</v>
      </c>
      <c r="B18" s="2">
        <f>B16/B5</f>
        <v>0</v>
      </c>
      <c r="C18" s="2">
        <f>C16/C5</f>
        <v>0</v>
      </c>
      <c r="D18" s="2">
        <f>D16/D5</f>
        <v>0</v>
      </c>
      <c r="E18" s="2">
        <f>E16/E5</f>
        <v>0</v>
      </c>
      <c r="F18" s="2">
        <f>F16/F5</f>
        <v>0</v>
      </c>
    </row>
    <row r="19" spans="1:6">
      <c r="A19" t="s">
        <v>62</v>
      </c>
      <c r="B19" s="2">
        <f>B15/(1+'Допущения'!$B$10)^1</f>
        <v>0</v>
      </c>
      <c r="C19" s="2">
        <f>C15/(1+'Допущения'!$B$10)^2</f>
        <v>0</v>
      </c>
      <c r="D19" s="2">
        <f>D15/(1+'Допущения'!$B$10)^3</f>
        <v>0</v>
      </c>
      <c r="E19" s="2">
        <f>E15/(1+'Допущения'!$B$10)^4</f>
        <v>0</v>
      </c>
      <c r="F19" s="2">
        <f>F15/(1+'Допущения'!$B$10)^5</f>
        <v>0</v>
      </c>
    </row>
    <row r="21" spans="1:6">
      <c r="A21" t="s">
        <v>63</v>
      </c>
      <c r="B21" s="2">
        <f>SUM(B15:F15)</f>
        <v>0</v>
      </c>
    </row>
    <row r="22" spans="1:6">
      <c r="A22" t="s">
        <v>64</v>
      </c>
      <c r="B22" s="2">
        <f>SUM(B19:F19)</f>
        <v>0</v>
      </c>
    </row>
    <row r="23" spans="1:6">
      <c r="A23" t="s">
        <v>65</v>
      </c>
      <c r="B23" s="2">
        <f>B21/SUM(B5:F5)</f>
        <v>0</v>
      </c>
    </row>
    <row r="24" spans="1:6">
      <c r="A24" t="s">
        <v>66</v>
      </c>
      <c r="B24" s="2">
        <f>SUM(B8:F9)+SUM(B13:F14)-SUM('A Монолит'!B8:F9)-SUM('A Монолит'!B13:F14)</f>
        <v>0</v>
      </c>
    </row>
    <row r="25" spans="1:6">
      <c r="A25" t="s">
        <v>67</v>
      </c>
      <c r="B25" s="2">
        <f>B8/12</f>
        <v>0</v>
      </c>
    </row>
    <row r="26" spans="1:6">
      <c r="A26" t="s">
        <v>68</v>
      </c>
      <c r="B26">
        <f>IF(B25&lt;='Допущения'!$B$16,1,0)</f>
        <v>0</v>
      </c>
    </row>
    <row r="27" spans="1:6">
      <c r="A27" t="s">
        <v>69</v>
      </c>
      <c r="B27">
        <v>6</v>
      </c>
    </row>
    <row r="28" spans="1:6">
      <c r="A28" t="s">
        <v>70</v>
      </c>
      <c r="B28">
        <v>50000</v>
      </c>
    </row>
    <row r="30" spans="1:6">
      <c r="A30" t="s">
        <v>71</v>
      </c>
      <c r="B30" s="2">
        <f>'Допущения'!$B$15</f>
        <v>0</v>
      </c>
      <c r="C30" s="2">
        <f>'Допущения'!$B$15</f>
        <v>0</v>
      </c>
      <c r="D30" s="2">
        <f>'Допущения'!$B$15</f>
        <v>0</v>
      </c>
      <c r="E30" s="2">
        <f>'Допущения'!$B$15</f>
        <v>0</v>
      </c>
      <c r="F30" s="2">
        <f>'Допущения'!$B$15</f>
        <v>0</v>
      </c>
    </row>
    <row r="31" spans="1:6">
      <c r="A31" t="s">
        <v>72</v>
      </c>
      <c r="B31" s="2">
        <f>(1-B30)*365*24*60</f>
        <v>0</v>
      </c>
      <c r="C31" s="2">
        <f>(1-C30)*365*24*60</f>
        <v>0</v>
      </c>
      <c r="D31" s="2">
        <f>(1-D30)*365*24*60</f>
        <v>0</v>
      </c>
      <c r="E31" s="2">
        <f>(1-E30)*365*24*60</f>
        <v>0</v>
      </c>
      <c r="F31" s="2">
        <f>(1-F30)*365*24*60</f>
        <v>0</v>
      </c>
    </row>
    <row r="32" spans="1:6">
      <c r="A32" t="s">
        <v>73</v>
      </c>
      <c r="B32" s="2">
        <f>B31*'Допущения'!$B$14</f>
        <v>0</v>
      </c>
      <c r="C32" s="2">
        <f>C31*'Допущения'!$B$14</f>
        <v>0</v>
      </c>
      <c r="D32" s="2">
        <f>D31*'Допущения'!$B$14</f>
        <v>0</v>
      </c>
      <c r="E32" s="2">
        <f>E31*'Допущения'!$B$14</f>
        <v>0</v>
      </c>
      <c r="F32" s="2">
        <f>F31*'Допущения'!$B$14</f>
        <v>0</v>
      </c>
    </row>
    <row r="33" spans="1:6">
      <c r="A33" t="s">
        <v>74</v>
      </c>
      <c r="B33" s="2">
        <f>B15+B32</f>
        <v>0</v>
      </c>
      <c r="C33" s="2">
        <f>C15+C32</f>
        <v>0</v>
      </c>
      <c r="D33" s="2">
        <f>D15+D32</f>
        <v>0</v>
      </c>
      <c r="E33" s="2">
        <f>E15+E32</f>
        <v>0</v>
      </c>
      <c r="F33" s="2">
        <f>F15+F32</f>
        <v>0</v>
      </c>
    </row>
    <row r="35" spans="1:6">
      <c r="A35" s="3" t="s">
        <v>75</v>
      </c>
    </row>
    <row r="36" spans="1:6">
      <c r="A36" s="3" t="s">
        <v>76</v>
      </c>
    </row>
    <row r="37" spans="1:6">
      <c r="A37" s="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9.7109375" customWidth="1"/>
    <col min="2" max="6" width="19.7109375" customWidth="1"/>
  </cols>
  <sheetData>
    <row r="1" spans="1:6">
      <c r="A1" s="1" t="s">
        <v>78</v>
      </c>
    </row>
    <row r="3" spans="1:6">
      <c r="A3" s="1" t="s">
        <v>50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</row>
    <row r="4" spans="1:6">
      <c r="A4" t="s">
        <v>41</v>
      </c>
      <c r="B4" s="2">
        <f>'Допущения'!B20</f>
        <v>0</v>
      </c>
      <c r="C4" s="2">
        <f>'Допущения'!C20</f>
        <v>0</v>
      </c>
      <c r="D4" s="2">
        <f>'Допущения'!D20</f>
        <v>0</v>
      </c>
      <c r="E4" s="2">
        <f>'Допущения'!E20</f>
        <v>0</v>
      </c>
      <c r="F4" s="2">
        <f>'Допущения'!F20</f>
        <v>0</v>
      </c>
    </row>
    <row r="5" spans="1:6">
      <c r="A5" t="s">
        <v>42</v>
      </c>
      <c r="B5" s="2">
        <f>'Допущения'!B21</f>
        <v>0</v>
      </c>
      <c r="C5" s="2">
        <f>'Допущения'!C21</f>
        <v>0</v>
      </c>
      <c r="D5" s="2">
        <f>'Допущения'!D21</f>
        <v>0</v>
      </c>
      <c r="E5" s="2">
        <f>'Допущения'!E21</f>
        <v>0</v>
      </c>
      <c r="F5" s="2">
        <f>'Допущения'!F21</f>
        <v>0</v>
      </c>
    </row>
    <row r="6" spans="1:6">
      <c r="A6" t="s">
        <v>43</v>
      </c>
      <c r="B6" s="2">
        <f>'Допущения'!B22</f>
        <v>0</v>
      </c>
      <c r="C6" s="2">
        <f>'Допущения'!C22</f>
        <v>0</v>
      </c>
      <c r="D6" s="2">
        <f>'Допущения'!D22</f>
        <v>0</v>
      </c>
      <c r="E6" s="2">
        <f>'Допущения'!E22</f>
        <v>0</v>
      </c>
      <c r="F6" s="2">
        <f>'Допущения'!F22</f>
        <v>0</v>
      </c>
    </row>
    <row r="8" spans="1:6">
      <c r="A8" t="s">
        <v>51</v>
      </c>
      <c r="B8" s="2">
        <f>4700*12*(1+'Допущения'!$B$7)^0</f>
        <v>0</v>
      </c>
      <c r="C8" s="2">
        <f>4700*12*(1+'Допущения'!$B$7)^1</f>
        <v>0</v>
      </c>
      <c r="D8" s="2">
        <f>4700*12*(1+'Допущения'!$B$7)^2</f>
        <v>0</v>
      </c>
      <c r="E8" s="2">
        <f>4700*12*(1+'Допущения'!$B$7)^3</f>
        <v>0</v>
      </c>
      <c r="F8" s="2">
        <f>4700*12*(1+'Допущения'!$B$7)^4</f>
        <v>0</v>
      </c>
    </row>
    <row r="9" spans="1:6">
      <c r="A9" t="s">
        <v>52</v>
      </c>
      <c r="B9" s="2">
        <f>9*'Допущения'!$B$11*12*(1+'Допущения'!$B$8)^0</f>
        <v>0</v>
      </c>
      <c r="C9" s="2">
        <f>9*'Допущения'!$B$11*12*(1+'Допущения'!$B$8)^1</f>
        <v>0</v>
      </c>
      <c r="D9" s="2">
        <f>9*'Допущения'!$B$11*12*(1+'Допущения'!$B$8)^2</f>
        <v>0</v>
      </c>
      <c r="E9" s="2">
        <f>9*'Допущения'!$B$11*12*(1+'Допущения'!$B$8)^3</f>
        <v>0</v>
      </c>
      <c r="F9" s="2">
        <f>9*'Допущения'!$B$11*12*(1+'Допущения'!$B$8)^4</f>
        <v>0</v>
      </c>
    </row>
    <row r="10" spans="1:6">
      <c r="A10" t="s">
        <v>53</v>
      </c>
      <c r="B10" s="2">
        <f>B6*'Допущения'!$B$4</f>
        <v>0</v>
      </c>
      <c r="C10" s="2">
        <f>C6*'Допущения'!$B$4</f>
        <v>0</v>
      </c>
      <c r="D10" s="2">
        <f>D6*'Допущения'!$B$4</f>
        <v>0</v>
      </c>
      <c r="E10" s="2">
        <f>E6*'Допущения'!$B$4</f>
        <v>0</v>
      </c>
      <c r="F10" s="2">
        <f>F6*'Допущения'!$B$4</f>
        <v>0</v>
      </c>
    </row>
    <row r="11" spans="1:6">
      <c r="A11" t="s">
        <v>54</v>
      </c>
      <c r="B11" s="2">
        <f>B5*'Допущения'!$B$5</f>
        <v>0</v>
      </c>
      <c r="C11" s="2">
        <f>C5*'Допущения'!$B$5</f>
        <v>0</v>
      </c>
      <c r="D11" s="2">
        <f>D5*'Допущения'!$B$5</f>
        <v>0</v>
      </c>
      <c r="E11" s="2">
        <f>E5*'Допущения'!$B$5</f>
        <v>0</v>
      </c>
      <c r="F11" s="2">
        <f>F5*'Допущения'!$B$5</f>
        <v>0</v>
      </c>
    </row>
    <row r="12" spans="1:6">
      <c r="A12" t="s">
        <v>55</v>
      </c>
      <c r="B12" s="2">
        <f>B5*'Допущения'!$B$6</f>
        <v>0</v>
      </c>
      <c r="C12" s="2">
        <f>C5*'Допущения'!$B$6</f>
        <v>0</v>
      </c>
      <c r="D12" s="2">
        <f>D5*'Допущения'!$B$6</f>
        <v>0</v>
      </c>
      <c r="E12" s="2">
        <f>E5*'Допущения'!$B$6</f>
        <v>0</v>
      </c>
      <c r="F12" s="2">
        <f>F5*'Допущения'!$B$6</f>
        <v>0</v>
      </c>
    </row>
    <row r="13" spans="1:6">
      <c r="A13" t="s">
        <v>56</v>
      </c>
      <c r="B13" s="2">
        <f>'Допущения'!$B$12</f>
        <v>0</v>
      </c>
      <c r="C13" s="2">
        <f>'Допущения'!$B$13*(1+'Допущения'!$B$9)^1</f>
        <v>0</v>
      </c>
      <c r="D13" s="2">
        <f>'Допущения'!$B$13*(1+'Допущения'!$B$9)^2</f>
        <v>0</v>
      </c>
      <c r="E13" s="2">
        <f>'Допущения'!$B$13*(1+'Допущения'!$B$9)^3</f>
        <v>0</v>
      </c>
      <c r="F13" s="2">
        <f>'Допущения'!$B$13*(1+'Допущения'!$B$9)^4</f>
        <v>0</v>
      </c>
    </row>
    <row r="14" spans="1:6">
      <c r="A14" t="s">
        <v>57</v>
      </c>
      <c r="B14" s="2">
        <v>18000</v>
      </c>
      <c r="C14" s="2">
        <v>0</v>
      </c>
      <c r="D14" s="2">
        <v>0</v>
      </c>
      <c r="E14" s="2">
        <v>0</v>
      </c>
      <c r="F14" s="2">
        <v>0</v>
      </c>
    </row>
    <row r="15" spans="1:6">
      <c r="A15" t="s">
        <v>58</v>
      </c>
      <c r="B15" s="2">
        <f>SUM(B8:B14)</f>
        <v>0</v>
      </c>
      <c r="C15" s="2">
        <f>SUM(C8:C14)</f>
        <v>0</v>
      </c>
      <c r="D15" s="2">
        <f>SUM(D8:D14)</f>
        <v>0</v>
      </c>
      <c r="E15" s="2">
        <f>SUM(E8:E14)</f>
        <v>0</v>
      </c>
      <c r="F15" s="2">
        <f>SUM(F8:F14)</f>
        <v>0</v>
      </c>
    </row>
    <row r="16" spans="1:6">
      <c r="A16" t="s">
        <v>59</v>
      </c>
      <c r="B16" s="2">
        <f>B8+B9+B13+B14</f>
        <v>0</v>
      </c>
      <c r="C16" s="2">
        <f>C8+C9+C13+C14</f>
        <v>0</v>
      </c>
      <c r="D16" s="2">
        <f>D8+D9+D13+D14</f>
        <v>0</v>
      </c>
      <c r="E16" s="2">
        <f>E8+E9+E13+E14</f>
        <v>0</v>
      </c>
      <c r="F16" s="2">
        <f>F8+F9+F13+F14</f>
        <v>0</v>
      </c>
    </row>
    <row r="17" spans="1:6">
      <c r="A17" t="s">
        <v>60</v>
      </c>
      <c r="B17" s="2">
        <f>B15/B5</f>
        <v>0</v>
      </c>
      <c r="C17" s="2">
        <f>C15/C5</f>
        <v>0</v>
      </c>
      <c r="D17" s="2">
        <f>D15/D5</f>
        <v>0</v>
      </c>
      <c r="E17" s="2">
        <f>E15/E5</f>
        <v>0</v>
      </c>
      <c r="F17" s="2">
        <f>F15/F5</f>
        <v>0</v>
      </c>
    </row>
    <row r="18" spans="1:6">
      <c r="A18" t="s">
        <v>61</v>
      </c>
      <c r="B18" s="2">
        <f>B16/B5</f>
        <v>0</v>
      </c>
      <c r="C18" s="2">
        <f>C16/C5</f>
        <v>0</v>
      </c>
      <c r="D18" s="2">
        <f>D16/D5</f>
        <v>0</v>
      </c>
      <c r="E18" s="2">
        <f>E16/E5</f>
        <v>0</v>
      </c>
      <c r="F18" s="2">
        <f>F16/F5</f>
        <v>0</v>
      </c>
    </row>
    <row r="19" spans="1:6">
      <c r="A19" t="s">
        <v>62</v>
      </c>
      <c r="B19" s="2">
        <f>B15/(1+'Допущения'!$B$10)^1</f>
        <v>0</v>
      </c>
      <c r="C19" s="2">
        <f>C15/(1+'Допущения'!$B$10)^2</f>
        <v>0</v>
      </c>
      <c r="D19" s="2">
        <f>D15/(1+'Допущения'!$B$10)^3</f>
        <v>0</v>
      </c>
      <c r="E19" s="2">
        <f>E15/(1+'Допущения'!$B$10)^4</f>
        <v>0</v>
      </c>
      <c r="F19" s="2">
        <f>F15/(1+'Допущения'!$B$10)^5</f>
        <v>0</v>
      </c>
    </row>
    <row r="21" spans="1:6">
      <c r="A21" t="s">
        <v>63</v>
      </c>
      <c r="B21" s="2">
        <f>SUM(B15:F15)</f>
        <v>0</v>
      </c>
    </row>
    <row r="22" spans="1:6">
      <c r="A22" t="s">
        <v>64</v>
      </c>
      <c r="B22" s="2">
        <f>SUM(B19:F19)</f>
        <v>0</v>
      </c>
    </row>
    <row r="23" spans="1:6">
      <c r="A23" t="s">
        <v>65</v>
      </c>
      <c r="B23" s="2">
        <f>B21/SUM(B5:F5)</f>
        <v>0</v>
      </c>
    </row>
    <row r="24" spans="1:6">
      <c r="A24" t="s">
        <v>66</v>
      </c>
      <c r="B24" s="2">
        <f>SUM(B8:F9)+SUM(B13:F14)-SUM('A Монолит'!B8:F9)-SUM('A Монолит'!B13:F14)</f>
        <v>0</v>
      </c>
    </row>
    <row r="25" spans="1:6">
      <c r="A25" t="s">
        <v>67</v>
      </c>
      <c r="B25" s="2">
        <f>B8/12</f>
        <v>0</v>
      </c>
    </row>
    <row r="26" spans="1:6">
      <c r="A26" t="s">
        <v>68</v>
      </c>
      <c r="B26">
        <f>IF(B25&lt;='Допущения'!$B$16,1,0)</f>
        <v>0</v>
      </c>
    </row>
    <row r="27" spans="1:6">
      <c r="A27" t="s">
        <v>69</v>
      </c>
      <c r="B27">
        <v>9</v>
      </c>
    </row>
    <row r="28" spans="1:6">
      <c r="A28" t="s">
        <v>70</v>
      </c>
      <c r="B28">
        <v>100000</v>
      </c>
    </row>
    <row r="30" spans="1:6">
      <c r="A30" t="s">
        <v>71</v>
      </c>
      <c r="B30" s="2">
        <f>'Допущения'!$B$15</f>
        <v>0</v>
      </c>
      <c r="C30" s="2">
        <f>'Допущения'!$B$15</f>
        <v>0</v>
      </c>
      <c r="D30" s="2">
        <f>'Допущения'!$B$15</f>
        <v>0</v>
      </c>
      <c r="E30" s="2">
        <f>'Допущения'!$B$15</f>
        <v>0</v>
      </c>
      <c r="F30" s="2">
        <f>'Допущения'!$B$15</f>
        <v>0</v>
      </c>
    </row>
    <row r="31" spans="1:6">
      <c r="A31" t="s">
        <v>72</v>
      </c>
      <c r="B31" s="2">
        <f>(1-B30)*365*24*60</f>
        <v>0</v>
      </c>
      <c r="C31" s="2">
        <f>(1-C30)*365*24*60</f>
        <v>0</v>
      </c>
      <c r="D31" s="2">
        <f>(1-D30)*365*24*60</f>
        <v>0</v>
      </c>
      <c r="E31" s="2">
        <f>(1-E30)*365*24*60</f>
        <v>0</v>
      </c>
      <c r="F31" s="2">
        <f>(1-F30)*365*24*60</f>
        <v>0</v>
      </c>
    </row>
    <row r="32" spans="1:6">
      <c r="A32" t="s">
        <v>73</v>
      </c>
      <c r="B32" s="2">
        <f>B31*'Допущения'!$B$14</f>
        <v>0</v>
      </c>
      <c r="C32" s="2">
        <f>C31*'Допущения'!$B$14</f>
        <v>0</v>
      </c>
      <c r="D32" s="2">
        <f>D31*'Допущения'!$B$14</f>
        <v>0</v>
      </c>
      <c r="E32" s="2">
        <f>E31*'Допущения'!$B$14</f>
        <v>0</v>
      </c>
      <c r="F32" s="2">
        <f>F31*'Допущения'!$B$14</f>
        <v>0</v>
      </c>
    </row>
    <row r="33" spans="1:6">
      <c r="A33" t="s">
        <v>74</v>
      </c>
      <c r="B33" s="2">
        <f>B15+B32</f>
        <v>0</v>
      </c>
      <c r="C33" s="2">
        <f>C15+C32</f>
        <v>0</v>
      </c>
      <c r="D33" s="2">
        <f>D15+D32</f>
        <v>0</v>
      </c>
      <c r="E33" s="2">
        <f>E15+E32</f>
        <v>0</v>
      </c>
      <c r="F33" s="2">
        <f>F15+F32</f>
        <v>0</v>
      </c>
    </row>
    <row r="35" spans="1:6">
      <c r="A35" s="3" t="s">
        <v>75</v>
      </c>
    </row>
    <row r="36" spans="1:6">
      <c r="A36" s="3" t="s">
        <v>76</v>
      </c>
    </row>
    <row r="37" spans="1:6">
      <c r="A37" s="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9.7109375" customWidth="1"/>
    <col min="2" max="6" width="19.7109375" customWidth="1"/>
  </cols>
  <sheetData>
    <row r="1" spans="1:6">
      <c r="A1" s="1" t="s">
        <v>79</v>
      </c>
    </row>
    <row r="3" spans="1:6">
      <c r="A3" s="1" t="s">
        <v>50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</row>
    <row r="4" spans="1:6">
      <c r="A4" t="s">
        <v>41</v>
      </c>
      <c r="B4" s="2">
        <f>'Допущения'!B20</f>
        <v>0</v>
      </c>
      <c r="C4" s="2">
        <f>'Допущения'!C20</f>
        <v>0</v>
      </c>
      <c r="D4" s="2">
        <f>'Допущения'!D20</f>
        <v>0</v>
      </c>
      <c r="E4" s="2">
        <f>'Допущения'!E20</f>
        <v>0</v>
      </c>
      <c r="F4" s="2">
        <f>'Допущения'!F20</f>
        <v>0</v>
      </c>
    </row>
    <row r="5" spans="1:6">
      <c r="A5" t="s">
        <v>42</v>
      </c>
      <c r="B5" s="2">
        <f>'Допущения'!B21</f>
        <v>0</v>
      </c>
      <c r="C5" s="2">
        <f>'Допущения'!C21</f>
        <v>0</v>
      </c>
      <c r="D5" s="2">
        <f>'Допущения'!D21</f>
        <v>0</v>
      </c>
      <c r="E5" s="2">
        <f>'Допущения'!E21</f>
        <v>0</v>
      </c>
      <c r="F5" s="2">
        <f>'Допущения'!F21</f>
        <v>0</v>
      </c>
    </row>
    <row r="6" spans="1:6">
      <c r="A6" t="s">
        <v>43</v>
      </c>
      <c r="B6" s="2">
        <f>'Допущения'!B22</f>
        <v>0</v>
      </c>
      <c r="C6" s="2">
        <f>'Допущения'!C22</f>
        <v>0</v>
      </c>
      <c r="D6" s="2">
        <f>'Допущения'!D22</f>
        <v>0</v>
      </c>
      <c r="E6" s="2">
        <f>'Допущения'!E22</f>
        <v>0</v>
      </c>
      <c r="F6" s="2">
        <f>'Допущения'!F22</f>
        <v>0</v>
      </c>
    </row>
    <row r="8" spans="1:6">
      <c r="A8" t="s">
        <v>51</v>
      </c>
      <c r="B8" s="2">
        <f>18500*12*(1+'Допущения'!$B$7)^0</f>
        <v>0</v>
      </c>
      <c r="C8" s="2">
        <f>18500*12*(1+'Допущения'!$B$7)^1</f>
        <v>0</v>
      </c>
      <c r="D8" s="2">
        <f>18500*12*(1+'Допущения'!$B$7)^2</f>
        <v>0</v>
      </c>
      <c r="E8" s="2">
        <f>18500*12*(1+'Допущения'!$B$7)^3</f>
        <v>0</v>
      </c>
      <c r="F8" s="2">
        <f>18500*12*(1+'Допущения'!$B$7)^4</f>
        <v>0</v>
      </c>
    </row>
    <row r="9" spans="1:6">
      <c r="A9" t="s">
        <v>52</v>
      </c>
      <c r="B9" s="2">
        <f>18*'Допущения'!$B$11*12*(1+'Допущения'!$B$8)^0</f>
        <v>0</v>
      </c>
      <c r="C9" s="2">
        <f>18*'Допущения'!$B$11*12*(1+'Допущения'!$B$8)^1</f>
        <v>0</v>
      </c>
      <c r="D9" s="2">
        <f>18*'Допущения'!$B$11*12*(1+'Допущения'!$B$8)^2</f>
        <v>0</v>
      </c>
      <c r="E9" s="2">
        <f>18*'Допущения'!$B$11*12*(1+'Допущения'!$B$8)^3</f>
        <v>0</v>
      </c>
      <c r="F9" s="2">
        <f>18*'Допущения'!$B$11*12*(1+'Допущения'!$B$8)^4</f>
        <v>0</v>
      </c>
    </row>
    <row r="10" spans="1:6">
      <c r="A10" t="s">
        <v>53</v>
      </c>
      <c r="B10" s="2">
        <f>B6*'Допущения'!$B$4</f>
        <v>0</v>
      </c>
      <c r="C10" s="2">
        <f>C6*'Допущения'!$B$4</f>
        <v>0</v>
      </c>
      <c r="D10" s="2">
        <f>D6*'Допущения'!$B$4</f>
        <v>0</v>
      </c>
      <c r="E10" s="2">
        <f>E6*'Допущения'!$B$4</f>
        <v>0</v>
      </c>
      <c r="F10" s="2">
        <f>F6*'Допущения'!$B$4</f>
        <v>0</v>
      </c>
    </row>
    <row r="11" spans="1:6">
      <c r="A11" t="s">
        <v>54</v>
      </c>
      <c r="B11" s="2">
        <f>B5*'Допущения'!$B$5</f>
        <v>0</v>
      </c>
      <c r="C11" s="2">
        <f>C5*'Допущения'!$B$5</f>
        <v>0</v>
      </c>
      <c r="D11" s="2">
        <f>D5*'Допущения'!$B$5</f>
        <v>0</v>
      </c>
      <c r="E11" s="2">
        <f>E5*'Допущения'!$B$5</f>
        <v>0</v>
      </c>
      <c r="F11" s="2">
        <f>F5*'Допущения'!$B$5</f>
        <v>0</v>
      </c>
    </row>
    <row r="12" spans="1:6">
      <c r="A12" t="s">
        <v>55</v>
      </c>
      <c r="B12" s="2">
        <f>B5*'Допущения'!$B$6</f>
        <v>0</v>
      </c>
      <c r="C12" s="2">
        <f>C5*'Допущения'!$B$6</f>
        <v>0</v>
      </c>
      <c r="D12" s="2">
        <f>D5*'Допущения'!$B$6</f>
        <v>0</v>
      </c>
      <c r="E12" s="2">
        <f>E5*'Допущения'!$B$6</f>
        <v>0</v>
      </c>
      <c r="F12" s="2">
        <f>F5*'Допущения'!$B$6</f>
        <v>0</v>
      </c>
    </row>
    <row r="13" spans="1:6">
      <c r="A13" t="s">
        <v>56</v>
      </c>
      <c r="B13" s="2">
        <f>'Допущения'!$B$12</f>
        <v>0</v>
      </c>
      <c r="C13" s="2">
        <f>'Допущения'!$B$13*(1+'Допущения'!$B$9)^1</f>
        <v>0</v>
      </c>
      <c r="D13" s="2">
        <f>'Допущения'!$B$13*(1+'Допущения'!$B$9)^2</f>
        <v>0</v>
      </c>
      <c r="E13" s="2">
        <f>'Допущения'!$B$13*(1+'Допущения'!$B$9)^3</f>
        <v>0</v>
      </c>
      <c r="F13" s="2">
        <f>'Допущения'!$B$13*(1+'Допущения'!$B$9)^4</f>
        <v>0</v>
      </c>
    </row>
    <row r="14" spans="1:6">
      <c r="A14" t="s">
        <v>57</v>
      </c>
      <c r="B14" s="2">
        <v>80000</v>
      </c>
      <c r="C14" s="2">
        <v>0</v>
      </c>
      <c r="D14" s="2">
        <v>0</v>
      </c>
      <c r="E14" s="2">
        <v>0</v>
      </c>
      <c r="F14" s="2">
        <v>0</v>
      </c>
    </row>
    <row r="15" spans="1:6">
      <c r="A15" t="s">
        <v>58</v>
      </c>
      <c r="B15" s="2">
        <f>SUM(B8:B14)</f>
        <v>0</v>
      </c>
      <c r="C15" s="2">
        <f>SUM(C8:C14)</f>
        <v>0</v>
      </c>
      <c r="D15" s="2">
        <f>SUM(D8:D14)</f>
        <v>0</v>
      </c>
      <c r="E15" s="2">
        <f>SUM(E8:E14)</f>
        <v>0</v>
      </c>
      <c r="F15" s="2">
        <f>SUM(F8:F14)</f>
        <v>0</v>
      </c>
    </row>
    <row r="16" spans="1:6">
      <c r="A16" t="s">
        <v>59</v>
      </c>
      <c r="B16" s="2">
        <f>B8+B9+B13+B14</f>
        <v>0</v>
      </c>
      <c r="C16" s="2">
        <f>C8+C9+C13+C14</f>
        <v>0</v>
      </c>
      <c r="D16" s="2">
        <f>D8+D9+D13+D14</f>
        <v>0</v>
      </c>
      <c r="E16" s="2">
        <f>E8+E9+E13+E14</f>
        <v>0</v>
      </c>
      <c r="F16" s="2">
        <f>F8+F9+F13+F14</f>
        <v>0</v>
      </c>
    </row>
    <row r="17" spans="1:6">
      <c r="A17" t="s">
        <v>60</v>
      </c>
      <c r="B17" s="2">
        <f>B15/B5</f>
        <v>0</v>
      </c>
      <c r="C17" s="2">
        <f>C15/C5</f>
        <v>0</v>
      </c>
      <c r="D17" s="2">
        <f>D15/D5</f>
        <v>0</v>
      </c>
      <c r="E17" s="2">
        <f>E15/E5</f>
        <v>0</v>
      </c>
      <c r="F17" s="2">
        <f>F15/F5</f>
        <v>0</v>
      </c>
    </row>
    <row r="18" spans="1:6">
      <c r="A18" t="s">
        <v>61</v>
      </c>
      <c r="B18" s="2">
        <f>B16/B5</f>
        <v>0</v>
      </c>
      <c r="C18" s="2">
        <f>C16/C5</f>
        <v>0</v>
      </c>
      <c r="D18" s="2">
        <f>D16/D5</f>
        <v>0</v>
      </c>
      <c r="E18" s="2">
        <f>E16/E5</f>
        <v>0</v>
      </c>
      <c r="F18" s="2">
        <f>F16/F5</f>
        <v>0</v>
      </c>
    </row>
    <row r="19" spans="1:6">
      <c r="A19" t="s">
        <v>62</v>
      </c>
      <c r="B19" s="2">
        <f>B15/(1+'Допущения'!$B$10)^1</f>
        <v>0</v>
      </c>
      <c r="C19" s="2">
        <f>C15/(1+'Допущения'!$B$10)^2</f>
        <v>0</v>
      </c>
      <c r="D19" s="2">
        <f>D15/(1+'Допущения'!$B$10)^3</f>
        <v>0</v>
      </c>
      <c r="E19" s="2">
        <f>E15/(1+'Допущения'!$B$10)^4</f>
        <v>0</v>
      </c>
      <c r="F19" s="2">
        <f>F15/(1+'Допущения'!$B$10)^5</f>
        <v>0</v>
      </c>
    </row>
    <row r="21" spans="1:6">
      <c r="A21" t="s">
        <v>63</v>
      </c>
      <c r="B21" s="2">
        <f>SUM(B15:F15)</f>
        <v>0</v>
      </c>
    </row>
    <row r="22" spans="1:6">
      <c r="A22" t="s">
        <v>64</v>
      </c>
      <c r="B22" s="2">
        <f>SUM(B19:F19)</f>
        <v>0</v>
      </c>
    </row>
    <row r="23" spans="1:6">
      <c r="A23" t="s">
        <v>65</v>
      </c>
      <c r="B23" s="2">
        <f>B21/SUM(B5:F5)</f>
        <v>0</v>
      </c>
    </row>
    <row r="24" spans="1:6">
      <c r="A24" t="s">
        <v>66</v>
      </c>
      <c r="B24" s="2">
        <f>SUM(B8:F9)+SUM(B13:F14)-SUM('A Монолит'!B8:F9)-SUM('A Монолит'!B13:F14)</f>
        <v>0</v>
      </c>
    </row>
    <row r="25" spans="1:6">
      <c r="A25" t="s">
        <v>67</v>
      </c>
      <c r="B25" s="2">
        <f>B8/12</f>
        <v>0</v>
      </c>
    </row>
    <row r="26" spans="1:6">
      <c r="A26" t="s">
        <v>68</v>
      </c>
      <c r="B26">
        <f>IF(B25&lt;='Допущения'!$B$16,1,0)</f>
        <v>0</v>
      </c>
    </row>
    <row r="27" spans="1:6">
      <c r="A27" t="s">
        <v>69</v>
      </c>
      <c r="B27">
        <v>18</v>
      </c>
    </row>
    <row r="28" spans="1:6">
      <c r="A28" t="s">
        <v>70</v>
      </c>
      <c r="B28">
        <v>250000</v>
      </c>
    </row>
    <row r="30" spans="1:6">
      <c r="A30" t="s">
        <v>71</v>
      </c>
      <c r="B30" s="2">
        <f>'Допущения'!$B$15</f>
        <v>0</v>
      </c>
      <c r="C30" s="2">
        <f>'Допущения'!$B$15</f>
        <v>0</v>
      </c>
      <c r="D30" s="2">
        <f>'Допущения'!$B$15</f>
        <v>0</v>
      </c>
      <c r="E30" s="2">
        <f>'Допущения'!$B$15</f>
        <v>0</v>
      </c>
      <c r="F30" s="2">
        <f>'Допущения'!$B$15</f>
        <v>0</v>
      </c>
    </row>
    <row r="31" spans="1:6">
      <c r="A31" t="s">
        <v>72</v>
      </c>
      <c r="B31" s="2">
        <f>(1-B30)*365*24*60</f>
        <v>0</v>
      </c>
      <c r="C31" s="2">
        <f>(1-C30)*365*24*60</f>
        <v>0</v>
      </c>
      <c r="D31" s="2">
        <f>(1-D30)*365*24*60</f>
        <v>0</v>
      </c>
      <c r="E31" s="2">
        <f>(1-E30)*365*24*60</f>
        <v>0</v>
      </c>
      <c r="F31" s="2">
        <f>(1-F30)*365*24*60</f>
        <v>0</v>
      </c>
    </row>
    <row r="32" spans="1:6">
      <c r="A32" t="s">
        <v>73</v>
      </c>
      <c r="B32" s="2">
        <f>B31*'Допущения'!$B$14</f>
        <v>0</v>
      </c>
      <c r="C32" s="2">
        <f>C31*'Допущения'!$B$14</f>
        <v>0</v>
      </c>
      <c r="D32" s="2">
        <f>D31*'Допущения'!$B$14</f>
        <v>0</v>
      </c>
      <c r="E32" s="2">
        <f>E31*'Допущения'!$B$14</f>
        <v>0</v>
      </c>
      <c r="F32" s="2">
        <f>F31*'Допущения'!$B$14</f>
        <v>0</v>
      </c>
    </row>
    <row r="33" spans="1:6">
      <c r="A33" t="s">
        <v>74</v>
      </c>
      <c r="B33" s="2">
        <f>B15+B32</f>
        <v>0</v>
      </c>
      <c r="C33" s="2">
        <f>C15+C32</f>
        <v>0</v>
      </c>
      <c r="D33" s="2">
        <f>D15+D32</f>
        <v>0</v>
      </c>
      <c r="E33" s="2">
        <f>E15+E32</f>
        <v>0</v>
      </c>
      <c r="F33" s="2">
        <f>F15+F32</f>
        <v>0</v>
      </c>
    </row>
    <row r="35" spans="1:6">
      <c r="A35" s="3" t="s">
        <v>75</v>
      </c>
    </row>
    <row r="36" spans="1:6">
      <c r="A36" s="3" t="s">
        <v>76</v>
      </c>
    </row>
    <row r="37" spans="1:6">
      <c r="A37" s="3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51.7109375" customWidth="1"/>
    <col min="2" max="4" width="25.7109375" customWidth="1"/>
  </cols>
  <sheetData>
    <row r="1" spans="1:4">
      <c r="A1" s="1" t="s">
        <v>80</v>
      </c>
      <c r="B1" s="1" t="s">
        <v>81</v>
      </c>
      <c r="C1" s="1" t="s">
        <v>82</v>
      </c>
      <c r="D1" s="1" t="s">
        <v>83</v>
      </c>
    </row>
    <row r="2" spans="1:4">
      <c r="A2" t="s">
        <v>84</v>
      </c>
      <c r="B2" s="2">
        <f>'A Монолит'!B24</f>
        <v>0</v>
      </c>
      <c r="C2" s="2">
        <f>'B Сервисы'!B24</f>
        <v>0</v>
      </c>
      <c r="D2" s="2">
        <f>'C CTO'!B24</f>
        <v>0</v>
      </c>
    </row>
    <row r="3" spans="1:4">
      <c r="A3" t="s">
        <v>85</v>
      </c>
    </row>
    <row r="4" spans="1:4">
      <c r="A4" t="s">
        <v>86</v>
      </c>
      <c r="B4">
        <f>50000*'Допущения'!B3</f>
        <v>0</v>
      </c>
    </row>
    <row r="5" spans="1:4">
      <c r="A5" t="s">
        <v>87</v>
      </c>
    </row>
    <row r="6" spans="1:4">
      <c r="A6" t="s">
        <v>86</v>
      </c>
      <c r="B6">
        <f>10000000*'Допущения'!B3</f>
        <v>0</v>
      </c>
    </row>
    <row r="7" spans="1:4">
      <c r="A7" t="s">
        <v>88</v>
      </c>
      <c r="B7" s="2">
        <f>'A Монолит'!B28</f>
        <v>0</v>
      </c>
      <c r="C7" s="2">
        <f>'B Сервисы'!B28</f>
        <v>0</v>
      </c>
      <c r="D7" s="2">
        <f>'C CTO'!B28</f>
        <v>0</v>
      </c>
    </row>
    <row r="9" spans="1:4">
      <c r="A9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Допущения</vt:lpstr>
      <vt:lpstr>A Монолит</vt:lpstr>
      <vt:lpstr>B Сервисы</vt:lpstr>
      <vt:lpstr>C CTO</vt:lpstr>
      <vt:lpstr>Сценарии 50k 10M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2026-10-19T11:50:23Z</dcterms:created>
  <dcterms:modified xsi:type="dcterms:W3CDTF">2026-10-19T11:50:23Z</dcterms:modified>
</cp:coreProperties>
</file>